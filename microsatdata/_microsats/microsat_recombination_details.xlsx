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_hendry/Documents/nomads2/studies/zambia-mis_hrp23-analysis/microsatdata/_microsats/"/>
    </mc:Choice>
  </mc:AlternateContent>
  <xr:revisionPtr revIDLastSave="0" documentId="13_ncr:1_{18BDFACB-612C-D14E-B8CD-2C0D66DF8466}" xr6:coauthVersionLast="47" xr6:coauthVersionMax="47" xr10:uidLastSave="{00000000-0000-0000-0000-000000000000}"/>
  <bookViews>
    <workbookView xWindow="5520" yWindow="2980" windowWidth="28040" windowHeight="17440" xr2:uid="{3E639FE9-0B27-AC47-99F2-9CD23A6CA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G14" i="1" s="1"/>
  <c r="F15" i="1"/>
  <c r="G15" i="1" s="1"/>
  <c r="F16" i="1"/>
  <c r="G16" i="1" s="1"/>
  <c r="F17" i="1"/>
  <c r="G17" i="1" s="1"/>
  <c r="F11" i="1"/>
  <c r="G11" i="1" s="1"/>
  <c r="A7" i="1"/>
  <c r="C12" i="1"/>
  <c r="D12" i="1" s="1"/>
  <c r="E12" i="1" s="1"/>
  <c r="F12" i="1" s="1"/>
  <c r="G12" i="1" s="1"/>
  <c r="C13" i="1"/>
  <c r="D13" i="1" s="1"/>
  <c r="E13" i="1" s="1"/>
  <c r="F13" i="1" s="1"/>
  <c r="G13" i="1" s="1"/>
  <c r="C14" i="1"/>
  <c r="D14" i="1" s="1"/>
  <c r="E14" i="1" s="1"/>
  <c r="C15" i="1"/>
  <c r="D15" i="1" s="1"/>
  <c r="E15" i="1" s="1"/>
  <c r="C16" i="1"/>
  <c r="D16" i="1" s="1"/>
  <c r="E16" i="1" s="1"/>
  <c r="C17" i="1"/>
  <c r="D17" i="1" s="1"/>
  <c r="E17" i="1" s="1"/>
  <c r="C11" i="1"/>
  <c r="D11" i="1" s="1"/>
  <c r="E11" i="1" s="1"/>
</calcChain>
</file>

<file path=xl/sharedStrings.xml><?xml version="1.0" encoding="utf-8"?>
<sst xmlns="http://schemas.openxmlformats.org/spreadsheetml/2006/main" count="27" uniqueCount="22">
  <si>
    <t>kbp per cM</t>
  </si>
  <si>
    <t>Strand</t>
  </si>
  <si>
    <t>Number of meioses, on average, per recombination event</t>
  </si>
  <si>
    <t>neg</t>
  </si>
  <si>
    <t>pos</t>
  </si>
  <si>
    <t>Distance from Kelch13 (kbp)</t>
  </si>
  <si>
    <t>Distance from Kelch13 (cM)</t>
  </si>
  <si>
    <t>This is the chance as a percentage per meosis</t>
  </si>
  <si>
    <t>So this would be per multiply infected (and outcrossed) mosquito.</t>
  </si>
  <si>
    <t>Say prevalence is 50%</t>
  </si>
  <si>
    <t>Assumptions</t>
  </si>
  <si>
    <t>outcrossed mosquito rate</t>
  </si>
  <si>
    <t>Number of mosquitoes for a recombination event</t>
  </si>
  <si>
    <t>Time to sporozoite in mosquito</t>
  </si>
  <si>
    <t>Time to merozoites</t>
  </si>
  <si>
    <t>Time to gameotcytes</t>
  </si>
  <si>
    <t>Minimum life cycle time (days)</t>
  </si>
  <si>
    <t>this sets the maximum rate at which you can have meiosis, at the very fastest, inside of one lineage, it should be once per 27 days</t>
  </si>
  <si>
    <t>but of course the process parallelises</t>
  </si>
  <si>
    <t>Expected minimum time recombinatinon (days)</t>
  </si>
  <si>
    <r>
      <t xml:space="preserve">key point, this is </t>
    </r>
    <r>
      <rPr>
        <i/>
        <sz val="12"/>
        <color theme="1"/>
        <rFont val="Aptos Narrow"/>
        <scheme val="minor"/>
      </rPr>
      <t>much</t>
    </r>
    <r>
      <rPr>
        <sz val="12"/>
        <color theme="1"/>
        <rFont val="Aptos Narrow"/>
        <scheme val="minor"/>
      </rPr>
      <t xml:space="preserve"> higher than in southeast asia</t>
    </r>
  </si>
  <si>
    <t>Expected minimum time recombinatinon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</si>
</sst>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5C6C-B358-A445-9885-0902DD560FB9}">
  <dimension ref="A1:G21"/>
  <sheetViews>
    <sheetView tabSelected="1" workbookViewId="0">
      <selection activeCell="I18" sqref="I18"/>
    </sheetView>
  </sheetViews>
  <sheetFormatPr baseColWidth="10" defaultRowHeight="16" x14ac:dyDescent="0.2"/>
  <cols>
    <col min="1" max="1" width="27.1640625" customWidth="1"/>
    <col min="2" max="2" width="30.5" hidden="1" customWidth="1"/>
    <col min="3" max="3" width="24" hidden="1" customWidth="1"/>
    <col min="4" max="4" width="16.83203125" hidden="1" customWidth="1"/>
    <col min="5" max="5" width="17.83203125" hidden="1" customWidth="1"/>
    <col min="6" max="6" width="12.1640625" customWidth="1"/>
    <col min="7" max="7" width="11.5" customWidth="1"/>
  </cols>
  <sheetData>
    <row r="1" spans="1:7" x14ac:dyDescent="0.2">
      <c r="A1" s="4" t="s">
        <v>10</v>
      </c>
      <c r="B1" s="4"/>
    </row>
    <row r="2" spans="1:7" x14ac:dyDescent="0.2">
      <c r="A2">
        <v>13.5</v>
      </c>
      <c r="B2" t="s">
        <v>0</v>
      </c>
    </row>
    <row r="3" spans="1:7" x14ac:dyDescent="0.2">
      <c r="A3">
        <v>0.5</v>
      </c>
      <c r="B3" t="s">
        <v>11</v>
      </c>
      <c r="C3" t="s">
        <v>20</v>
      </c>
    </row>
    <row r="4" spans="1:7" x14ac:dyDescent="0.2">
      <c r="A4">
        <v>12</v>
      </c>
      <c r="B4" t="s">
        <v>13</v>
      </c>
    </row>
    <row r="5" spans="1:7" x14ac:dyDescent="0.2">
      <c r="A5">
        <v>5</v>
      </c>
      <c r="B5" t="s">
        <v>14</v>
      </c>
    </row>
    <row r="6" spans="1:7" x14ac:dyDescent="0.2">
      <c r="A6">
        <v>10</v>
      </c>
      <c r="B6" t="s">
        <v>15</v>
      </c>
    </row>
    <row r="7" spans="1:7" x14ac:dyDescent="0.2">
      <c r="A7">
        <f>A4+A5+A6</f>
        <v>27</v>
      </c>
      <c r="B7" t="s">
        <v>16</v>
      </c>
      <c r="C7" t="s">
        <v>17</v>
      </c>
    </row>
    <row r="8" spans="1:7" x14ac:dyDescent="0.2">
      <c r="C8" t="s">
        <v>18</v>
      </c>
    </row>
    <row r="10" spans="1:7" ht="85" x14ac:dyDescent="0.2">
      <c r="A10" s="3" t="s">
        <v>5</v>
      </c>
      <c r="B10" s="3" t="s">
        <v>1</v>
      </c>
      <c r="C10" s="3" t="s">
        <v>6</v>
      </c>
      <c r="D10" s="3" t="s">
        <v>2</v>
      </c>
      <c r="E10" s="3" t="s">
        <v>12</v>
      </c>
      <c r="F10" s="3" t="s">
        <v>19</v>
      </c>
      <c r="G10" s="3" t="s">
        <v>21</v>
      </c>
    </row>
    <row r="11" spans="1:7" x14ac:dyDescent="0.2">
      <c r="A11">
        <v>31.9</v>
      </c>
      <c r="B11" t="s">
        <v>3</v>
      </c>
      <c r="C11" s="1">
        <f>A11/$A$2</f>
        <v>2.3629629629629627</v>
      </c>
      <c r="D11" s="2">
        <f>100/C11</f>
        <v>42.319749216300941</v>
      </c>
      <c r="E11" s="1">
        <f>D11/$A$3</f>
        <v>84.639498432601883</v>
      </c>
      <c r="F11" s="2">
        <f>E11*$A$7</f>
        <v>2285.2664576802508</v>
      </c>
      <c r="G11" s="1">
        <f>F11/365</f>
        <v>6.2610039936445228</v>
      </c>
    </row>
    <row r="12" spans="1:7" x14ac:dyDescent="0.2">
      <c r="A12">
        <v>6.36</v>
      </c>
      <c r="B12" t="s">
        <v>3</v>
      </c>
      <c r="C12" s="1">
        <f t="shared" ref="C12:C17" si="0">A12/$A$2</f>
        <v>0.47111111111111115</v>
      </c>
      <c r="D12" s="2">
        <f t="shared" ref="D12:D17" si="1">100/C12</f>
        <v>212.2641509433962</v>
      </c>
      <c r="E12" s="1">
        <f t="shared" ref="E12:E17" si="2">D12/$A$3</f>
        <v>424.52830188679241</v>
      </c>
      <c r="F12" s="2">
        <f t="shared" ref="F12:F17" si="3">E12*$A$7</f>
        <v>11462.264150943394</v>
      </c>
      <c r="G12" s="1">
        <f t="shared" ref="G12:G17" si="4">F12/365</f>
        <v>31.403463427242176</v>
      </c>
    </row>
    <row r="13" spans="1:7" x14ac:dyDescent="0.2">
      <c r="A13">
        <v>3.7</v>
      </c>
      <c r="B13" t="s">
        <v>3</v>
      </c>
      <c r="C13" s="1">
        <f t="shared" si="0"/>
        <v>0.27407407407407408</v>
      </c>
      <c r="D13" s="2">
        <f t="shared" si="1"/>
        <v>364.86486486486484</v>
      </c>
      <c r="E13" s="1">
        <f t="shared" si="2"/>
        <v>729.72972972972968</v>
      </c>
      <c r="F13" s="2">
        <f t="shared" si="3"/>
        <v>19702.7027027027</v>
      </c>
      <c r="G13" s="1">
        <f t="shared" si="4"/>
        <v>53.980007404664931</v>
      </c>
    </row>
    <row r="14" spans="1:7" x14ac:dyDescent="0.2">
      <c r="A14">
        <v>0.15</v>
      </c>
      <c r="B14" t="s">
        <v>3</v>
      </c>
      <c r="C14" s="1">
        <f t="shared" si="0"/>
        <v>1.1111111111111112E-2</v>
      </c>
      <c r="D14" s="2">
        <f t="shared" si="1"/>
        <v>9000</v>
      </c>
      <c r="E14" s="1">
        <f t="shared" si="2"/>
        <v>18000</v>
      </c>
      <c r="F14" s="2">
        <f t="shared" si="3"/>
        <v>486000</v>
      </c>
      <c r="G14" s="1">
        <f t="shared" si="4"/>
        <v>1331.5068493150684</v>
      </c>
    </row>
    <row r="15" spans="1:7" x14ac:dyDescent="0.2">
      <c r="A15">
        <v>15</v>
      </c>
      <c r="B15" t="s">
        <v>4</v>
      </c>
      <c r="C15" s="1">
        <f t="shared" si="0"/>
        <v>1.1111111111111112</v>
      </c>
      <c r="D15" s="2">
        <f t="shared" si="1"/>
        <v>90</v>
      </c>
      <c r="E15" s="1">
        <f t="shared" si="2"/>
        <v>180</v>
      </c>
      <c r="F15" s="2">
        <f t="shared" si="3"/>
        <v>4860</v>
      </c>
      <c r="G15" s="1">
        <f t="shared" si="4"/>
        <v>13.315068493150685</v>
      </c>
    </row>
    <row r="16" spans="1:7" x14ac:dyDescent="0.2">
      <c r="A16">
        <v>31</v>
      </c>
      <c r="B16" t="s">
        <v>4</v>
      </c>
      <c r="C16" s="1">
        <f t="shared" si="0"/>
        <v>2.2962962962962963</v>
      </c>
      <c r="D16" s="2">
        <f t="shared" si="1"/>
        <v>43.548387096774192</v>
      </c>
      <c r="E16" s="1">
        <f t="shared" si="2"/>
        <v>87.096774193548384</v>
      </c>
      <c r="F16" s="2">
        <f t="shared" si="3"/>
        <v>2351.6129032258063</v>
      </c>
      <c r="G16" s="1">
        <f t="shared" si="4"/>
        <v>6.4427750773309764</v>
      </c>
    </row>
    <row r="17" spans="1:7" x14ac:dyDescent="0.2">
      <c r="A17">
        <v>72.3</v>
      </c>
      <c r="B17" t="s">
        <v>4</v>
      </c>
      <c r="C17" s="1">
        <f t="shared" si="0"/>
        <v>5.3555555555555552</v>
      </c>
      <c r="D17" s="2">
        <f t="shared" si="1"/>
        <v>18.672199170124482</v>
      </c>
      <c r="E17" s="1">
        <f t="shared" si="2"/>
        <v>37.344398340248965</v>
      </c>
      <c r="F17" s="2">
        <f t="shared" si="3"/>
        <v>1008.298755186722</v>
      </c>
      <c r="G17" s="1">
        <f t="shared" si="4"/>
        <v>2.7624623429773205</v>
      </c>
    </row>
    <row r="18" spans="1:7" x14ac:dyDescent="0.2">
      <c r="C18" t="s">
        <v>7</v>
      </c>
    </row>
    <row r="19" spans="1:7" x14ac:dyDescent="0.2">
      <c r="D19" t="s">
        <v>8</v>
      </c>
    </row>
    <row r="21" spans="1:7" x14ac:dyDescent="0.2">
      <c r="D21" t="s">
        <v>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Hendry</dc:creator>
  <cp:lastModifiedBy>Jason Hendry</cp:lastModifiedBy>
  <dcterms:created xsi:type="dcterms:W3CDTF">2026-04-08T10:18:34Z</dcterms:created>
  <dcterms:modified xsi:type="dcterms:W3CDTF">2026-04-30T07:19:12Z</dcterms:modified>
</cp:coreProperties>
</file>